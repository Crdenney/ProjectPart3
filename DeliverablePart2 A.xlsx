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crdenney_purdue_edu/Documents/"/>
    </mc:Choice>
  </mc:AlternateContent>
  <xr:revisionPtr revIDLastSave="265" documentId="8_{507DFCE5-EF17-48C1-9CA1-6261BE2CA850}" xr6:coauthVersionLast="47" xr6:coauthVersionMax="47" xr10:uidLastSave="{6D004DDC-20EA-4E1B-B463-D79B326F2BAA}"/>
  <bookViews>
    <workbookView xWindow="-110" yWindow="-110" windowWidth="19420" windowHeight="11500" xr2:uid="{5EDCD2A2-706E-4599-92F5-14E625CA5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8" i="1"/>
  <c r="J17" i="1"/>
  <c r="J2" i="1"/>
  <c r="J3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<sst xmlns="http://schemas.openxmlformats.org/spreadsheetml/2006/main" count="152" uniqueCount="115">
  <si>
    <t>Control ID</t>
  </si>
  <si>
    <t>Control Name</t>
  </si>
  <si>
    <t>NIST
CSF
2.0</t>
  </si>
  <si>
    <t>ISO
27001:2022</t>
  </si>
  <si>
    <t xml:space="preserve">HIPAA </t>
  </si>
  <si>
    <t>PCI
DSS
4.0</t>
  </si>
  <si>
    <t>Coverage</t>
  </si>
  <si>
    <t>Gap
Notes</t>
  </si>
  <si>
    <t xml:space="preserve">Evidence </t>
  </si>
  <si>
    <t>NET-002</t>
  </si>
  <si>
    <t>SYSHARD-001</t>
  </si>
  <si>
    <t>Removal of decrecated and insecure protocols</t>
  </si>
  <si>
    <t>SYSHARD-002</t>
  </si>
  <si>
    <t>Web application hardening and patch management</t>
  </si>
  <si>
    <t>BACKRec-001</t>
  </si>
  <si>
    <t>Immutable Offsite Backup / 30 Day retention</t>
  </si>
  <si>
    <t>AUTH -001</t>
  </si>
  <si>
    <t>Mandatory MultiFactor Authentication</t>
  </si>
  <si>
    <t>AD - 004</t>
  </si>
  <si>
    <t>Dual Control and Peer Review  with changes</t>
  </si>
  <si>
    <t>Enforce TLS 1.3 and disable deprecated ciphers</t>
  </si>
  <si>
    <t>AUD - 001</t>
  </si>
  <si>
    <t>Monitoring of Audit Logs (Daily SIEM Review)</t>
  </si>
  <si>
    <t xml:space="preserve">Phys-002 </t>
  </si>
  <si>
    <t xml:space="preserve">Physical port locking </t>
  </si>
  <si>
    <t>Phys-003</t>
  </si>
  <si>
    <t xml:space="preserve">Two Security guards at the data center entrance </t>
  </si>
  <si>
    <t>AD-005</t>
  </si>
  <si>
    <t>Incident Response Crisis Communication</t>
  </si>
  <si>
    <t>AD - 002</t>
  </si>
  <si>
    <t>EOL Register and Quarantine</t>
  </si>
  <si>
    <t>AD-001</t>
  </si>
  <si>
    <t>Plugin Acceptable Use Policy</t>
  </si>
  <si>
    <t>PHYS-001</t>
  </si>
  <si>
    <t>Visitor Management during a crisis</t>
  </si>
  <si>
    <t>AD-003</t>
  </si>
  <si>
    <t>PR.PS-02</t>
  </si>
  <si>
    <t>PR.PS-03</t>
  </si>
  <si>
    <t>PR.DS-11</t>
  </si>
  <si>
    <t>PR.AA-04</t>
  </si>
  <si>
    <t>PR.DS-01</t>
  </si>
  <si>
    <t>PR.AA-05</t>
  </si>
  <si>
    <t>DE.CM-03</t>
  </si>
  <si>
    <t>PR.AT-02</t>
  </si>
  <si>
    <t>GV.SC-10</t>
  </si>
  <si>
    <t>PR.AT-01</t>
  </si>
  <si>
    <t>Annex A 5.3</t>
  </si>
  <si>
    <t>Annex A 8.8</t>
  </si>
  <si>
    <t>Annex A 8.13</t>
  </si>
  <si>
    <t xml:space="preserve">  Annex A 8.5 </t>
  </si>
  <si>
    <t xml:space="preserve"> Annex A 8.24 </t>
  </si>
  <si>
    <t>Annex A 5.5</t>
  </si>
  <si>
    <t>Annex A 8.16</t>
  </si>
  <si>
    <t xml:space="preserve"> Annex A 7.3</t>
  </si>
  <si>
    <t>Annex A 6.3</t>
  </si>
  <si>
    <t>Phishing Training</t>
  </si>
  <si>
    <t>Unknown</t>
  </si>
  <si>
    <t>Annex A 7.2</t>
  </si>
  <si>
    <t>164.31(a)(1)(2)(i)</t>
  </si>
  <si>
    <t>164.312c(1)</t>
  </si>
  <si>
    <t>164.306 (a)(1)</t>
  </si>
  <si>
    <t>164.308(ii)(A)(B)</t>
  </si>
  <si>
    <t>164.312(a)(2)(i)</t>
  </si>
  <si>
    <t>164.308 (a) (ii)(a)</t>
  </si>
  <si>
    <t>164.312(e)(2)(ii)</t>
  </si>
  <si>
    <t>164.308(a)(5)(ii)(c)</t>
  </si>
  <si>
    <t>164.310 ©</t>
  </si>
  <si>
    <t>164.310 (a)</t>
  </si>
  <si>
    <t>164/308(a)(4)(i)</t>
  </si>
  <si>
    <t>Partially covered</t>
  </si>
  <si>
    <t>164.306(a)(3)</t>
  </si>
  <si>
    <t>164.308(a)(5)(i)</t>
  </si>
  <si>
    <t xml:space="preserve">2.2.4 </t>
  </si>
  <si>
    <t>6.3.1 (Part)</t>
  </si>
  <si>
    <t>Test results</t>
  </si>
  <si>
    <t>Fully covered</t>
  </si>
  <si>
    <t>10.3.2</t>
  </si>
  <si>
    <t>6.5.1</t>
  </si>
  <si>
    <t>4.2.1</t>
  </si>
  <si>
    <t>10.4.1</t>
  </si>
  <si>
    <t xml:space="preserve">Unknown </t>
  </si>
  <si>
    <t xml:space="preserve">12.6.2 </t>
  </si>
  <si>
    <t>12.10.1</t>
  </si>
  <si>
    <t xml:space="preserve">Hippa requires testing of backup, which is currently not implemented in control </t>
  </si>
  <si>
    <t>no industry recognized source for risk intelligence</t>
  </si>
  <si>
    <t>Test results, Configuration documentation</t>
  </si>
  <si>
    <t>Test results, Documentation of hired personel</t>
  </si>
  <si>
    <t>Test results, training</t>
  </si>
  <si>
    <t>Test results, EOL asset list</t>
  </si>
  <si>
    <t>Test results, AUP policy</t>
  </si>
  <si>
    <t>Test results, Training documentation</t>
  </si>
  <si>
    <t>Version 1.2</t>
  </si>
  <si>
    <t>AD - 006</t>
  </si>
  <si>
    <t>Daily backup health check</t>
  </si>
  <si>
    <t>NET-003</t>
  </si>
  <si>
    <t xml:space="preserve">Deployment of honeypots </t>
  </si>
  <si>
    <t>DE.CM-01</t>
  </si>
  <si>
    <t>A.8.13</t>
  </si>
  <si>
    <t xml:space="preserve">A 8.16 </t>
  </si>
  <si>
    <t>164.308 (a)(6)(ii)</t>
  </si>
  <si>
    <t>164.308(a)(ii)(7)</t>
  </si>
  <si>
    <t>A3.5.1</t>
  </si>
  <si>
    <t>9.4.1.2</t>
  </si>
  <si>
    <t>Test results, report</t>
  </si>
  <si>
    <t>Test restuls, configuration</t>
  </si>
  <si>
    <t>Fully Covered</t>
  </si>
  <si>
    <t>Version 1.3</t>
  </si>
  <si>
    <t>IAW-001</t>
  </si>
  <si>
    <t xml:space="preserve">Designated admin workstation </t>
  </si>
  <si>
    <t>AD – 007</t>
  </si>
  <si>
    <t>Review of PowerShell change logs</t>
  </si>
  <si>
    <t>PR.IR-0</t>
  </si>
  <si>
    <t>A 5.15</t>
  </si>
  <si>
    <t>A 8.16</t>
  </si>
  <si>
    <t>164.308(a)(4)(ii)(b)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</si>
</sst>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ms.online/iso-27001/annex-a/8-16-monitoring-activities-2022/" TargetMode="External"/><Relationship Id="rId13" Type="http://schemas.openxmlformats.org/officeDocument/2006/relationships/hyperlink" Target="https://www.isms.online/iso-27001/annex-a/7-2-physical-entry-2022/" TargetMode="External"/><Relationship Id="rId18" Type="http://schemas.openxmlformats.org/officeDocument/2006/relationships/hyperlink" Target="https://www.ecfr.gov/current/title-45/subtitle-A/subchapter-C/part-164/subpart-C/section-164.310" TargetMode="External"/><Relationship Id="rId26" Type="http://schemas.openxmlformats.org/officeDocument/2006/relationships/hyperlink" Target="https://www.ecfr.gov/current/title-45/subtitle-A/subchapter-C/part-164/subpart-C/section-164.308" TargetMode="External"/><Relationship Id="rId3" Type="http://schemas.openxmlformats.org/officeDocument/2006/relationships/hyperlink" Target="https://www.isms.online/iso-27001/annex-a/8-8-management-of-technical-vulnerabilities-2022/" TargetMode="External"/><Relationship Id="rId21" Type="http://schemas.openxmlformats.org/officeDocument/2006/relationships/hyperlink" Target="https://www.ecfr.gov/current/title-45/subtitle-A/subchapter-C/part-164/subpart-C/section-164.308" TargetMode="External"/><Relationship Id="rId7" Type="http://schemas.openxmlformats.org/officeDocument/2006/relationships/hyperlink" Target="https://www.isms.online/iso-27001/annex-a-2022/5-5-contact-with-government-authorities-2022/" TargetMode="External"/><Relationship Id="rId12" Type="http://schemas.openxmlformats.org/officeDocument/2006/relationships/hyperlink" Target="https://www.isms.online/iso-27001/annex-a-2022/6-3-information-security-awareness-education-training-2022/" TargetMode="External"/><Relationship Id="rId17" Type="http://schemas.openxmlformats.org/officeDocument/2006/relationships/hyperlink" Target="https://www.ecfr.gov/current/title-45/subtitle-A/subchapter-C/part-164/subpart-C/section-164.312" TargetMode="External"/><Relationship Id="rId25" Type="http://schemas.openxmlformats.org/officeDocument/2006/relationships/hyperlink" Target="https://www.ecfr.gov/current/title-45/subtitle-A/subchapter-C/part-164/subpart-C/section-164.306" TargetMode="External"/><Relationship Id="rId2" Type="http://schemas.openxmlformats.org/officeDocument/2006/relationships/hyperlink" Target="https://www.isms.online/iso-27001/annex-a/8-8-management-of-technical-vulnerabilities-2022/" TargetMode="External"/><Relationship Id="rId16" Type="http://schemas.openxmlformats.org/officeDocument/2006/relationships/hyperlink" Target="https://www.ecfr.gov/current/title-45/subtitle-A/subchapter-C/part-164/subpart-C/section-164.308" TargetMode="External"/><Relationship Id="rId20" Type="http://schemas.openxmlformats.org/officeDocument/2006/relationships/hyperlink" Target="https://www.ecfr.gov/current/title-45/subtitle-A/subchapter-C/part-164/subpart-C/section-164.312" TargetMode="External"/><Relationship Id="rId29" Type="http://schemas.openxmlformats.org/officeDocument/2006/relationships/hyperlink" Target="https://www.ecfr.gov/current/title-45/subtitle-A/subchapter-C/part-164/subpart-C/section-164.308" TargetMode="External"/><Relationship Id="rId1" Type="http://schemas.openxmlformats.org/officeDocument/2006/relationships/hyperlink" Target="https://www.isms.online/iso-27001/annex-a-2022/5-3-segregation-of-duties-2022/" TargetMode="External"/><Relationship Id="rId6" Type="http://schemas.openxmlformats.org/officeDocument/2006/relationships/hyperlink" Target="https://www.isms.online/iso-27001/annex-a/8-24-use-of-cryptography-2022/" TargetMode="External"/><Relationship Id="rId11" Type="http://schemas.openxmlformats.org/officeDocument/2006/relationships/hyperlink" Target="https://www.isms.online/iso-27001/annex-a-2022/6-3-information-security-awareness-education-training-2022/" TargetMode="External"/><Relationship Id="rId24" Type="http://schemas.openxmlformats.org/officeDocument/2006/relationships/hyperlink" Target="https://www.ecfr.gov/current/title-45/subtitle-A/subchapter-C/part-164/subpart-C/section-164.308" TargetMode="External"/><Relationship Id="rId32" Type="http://schemas.openxmlformats.org/officeDocument/2006/relationships/hyperlink" Target="https://www.isms.online/iso-27001/annex-a-2022/8-16-monitoring-activities-2022/" TargetMode="External"/><Relationship Id="rId5" Type="http://schemas.openxmlformats.org/officeDocument/2006/relationships/hyperlink" Target="https://www.isms.online/iso-27001/annex-a-2022/8-5-secure-authentication-2022/" TargetMode="External"/><Relationship Id="rId15" Type="http://schemas.openxmlformats.org/officeDocument/2006/relationships/hyperlink" Target="https://www.ecfr.gov/current/title-45/subtitle-A/subchapter-C/part-164/subpart-C/section-164.306" TargetMode="External"/><Relationship Id="rId23" Type="http://schemas.openxmlformats.org/officeDocument/2006/relationships/hyperlink" Target="https://www.ecfr.gov/current/title-45/subtitle-A/subchapter-C/part-164/subpart-C/section-164.310" TargetMode="External"/><Relationship Id="rId28" Type="http://schemas.openxmlformats.org/officeDocument/2006/relationships/hyperlink" Target="https://www.isms.online/iso-27001/annex-a-2022/8-16-monitoring-activities-2022/" TargetMode="External"/><Relationship Id="rId10" Type="http://schemas.openxmlformats.org/officeDocument/2006/relationships/hyperlink" Target="https://www.isms.online/iso-27001/annex-a/6-3-information-security-awareness-education-training-2022/" TargetMode="External"/><Relationship Id="rId19" Type="http://schemas.openxmlformats.org/officeDocument/2006/relationships/hyperlink" Target="https://www.ecfr.gov/current/title-45/subtitle-A/subchapter-C/part-164/subpart-C/section-164.308" TargetMode="External"/><Relationship Id="rId31" Type="http://schemas.openxmlformats.org/officeDocument/2006/relationships/hyperlink" Target="https://www.isms.online/iso-27001/annex-a-2022/5-15-access-control-2022/" TargetMode="External"/><Relationship Id="rId4" Type="http://schemas.openxmlformats.org/officeDocument/2006/relationships/hyperlink" Target="https://www.isms.online/iso-27001/annex-a/8-13-information-backup-2022/" TargetMode="External"/><Relationship Id="rId9" Type="http://schemas.openxmlformats.org/officeDocument/2006/relationships/hyperlink" Target="https://www.isms.online/iso-27001/annex-a/7-3-securing-offices-rooms-facilities-2022/" TargetMode="External"/><Relationship Id="rId14" Type="http://schemas.openxmlformats.org/officeDocument/2006/relationships/hyperlink" Target="https://www.ecfr.gov/current/title-45/subtitle-A/subchapter-C/part-164/subpart-C/section-164.312" TargetMode="External"/><Relationship Id="rId22" Type="http://schemas.openxmlformats.org/officeDocument/2006/relationships/hyperlink" Target="https://www.ecfr.gov/current/title-45/subtitle-A/subchapter-C/part-164/subpart-C/section-164.310" TargetMode="External"/><Relationship Id="rId27" Type="http://schemas.openxmlformats.org/officeDocument/2006/relationships/hyperlink" Target="https://www.isms.online/iso-27001/annex-a-2022/8-13-information-backup-2022/" TargetMode="External"/><Relationship Id="rId30" Type="http://schemas.openxmlformats.org/officeDocument/2006/relationships/hyperlink" Target="https://www.ecfr.gov/current/title-45/subtitle-A/subchapter-C/part-164/subpart-C/section-164.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B61A-75A3-4693-BD32-235E3849EB4A}">
  <dimension ref="A1:J21"/>
  <sheetViews>
    <sheetView tabSelected="1" zoomScale="72" workbookViewId="0">
      <selection activeCell="J3" sqref="J3"/>
    </sheetView>
  </sheetViews>
  <sheetFormatPr defaultRowHeight="50" customHeight="1" x14ac:dyDescent="0.35"/>
  <cols>
    <col min="1" max="1" width="12.54296875" bestFit="1" customWidth="1"/>
    <col min="2" max="2" width="43" bestFit="1" customWidth="1"/>
    <col min="3" max="3" width="9.26953125" bestFit="1" customWidth="1"/>
    <col min="4" max="4" width="12.36328125" bestFit="1" customWidth="1"/>
    <col min="5" max="5" width="16.81640625" bestFit="1" customWidth="1"/>
    <col min="6" max="6" width="10.08984375" bestFit="1" customWidth="1"/>
    <col min="7" max="7" width="14.453125" bestFit="1" customWidth="1"/>
    <col min="8" max="8" width="8.81640625" bestFit="1" customWidth="1"/>
    <col min="9" max="9" width="15.08984375" bestFit="1" customWidth="1"/>
  </cols>
  <sheetData>
    <row r="1" spans="1:10" ht="50" customHeight="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</row>
    <row r="2" spans="1:10" ht="50" customHeight="1" x14ac:dyDescent="0.35">
      <c r="A2" t="s">
        <v>10</v>
      </c>
      <c r="B2" t="s">
        <v>11</v>
      </c>
      <c r="C2" t="s">
        <v>36</v>
      </c>
      <c r="D2" s="3" t="s">
        <v>47</v>
      </c>
      <c r="E2" s="3" t="s">
        <v>59</v>
      </c>
      <c r="F2" t="s">
        <v>72</v>
      </c>
      <c r="G2" t="s">
        <v>75</v>
      </c>
      <c r="I2" s="1" t="s">
        <v>85</v>
      </c>
      <c r="J2">
        <f>((COUNTIF(C2:F2, "&lt;&gt;"&amp;"Unknown") + IF(G2="Fully covered", 1, IF(G2="Partially covered", 0.5, 0)))/ 5) * 100</f>
        <v>100</v>
      </c>
    </row>
    <row r="3" spans="1:10" ht="101.5" x14ac:dyDescent="0.35">
      <c r="A3" t="s">
        <v>12</v>
      </c>
      <c r="B3" t="s">
        <v>13</v>
      </c>
      <c r="C3" t="s">
        <v>37</v>
      </c>
      <c r="D3" s="3" t="s">
        <v>47</v>
      </c>
      <c r="E3" s="3" t="s">
        <v>60</v>
      </c>
      <c r="F3" t="s">
        <v>73</v>
      </c>
      <c r="G3" s="1" t="s">
        <v>69</v>
      </c>
      <c r="H3" s="1" t="s">
        <v>84</v>
      </c>
      <c r="I3" s="1" t="s">
        <v>85</v>
      </c>
      <c r="J3">
        <f>((COUNTIF(C3:F3, "&lt;&gt;"&amp;"Unknown") + IF(G3="Fully covered", 1, IF(G3="Partially covered", 0.5, 0)))/ 5) * 100</f>
        <v>90</v>
      </c>
    </row>
    <row r="4" spans="1:10" ht="145" x14ac:dyDescent="0.35">
      <c r="A4" t="s">
        <v>14</v>
      </c>
      <c r="B4" t="s">
        <v>15</v>
      </c>
      <c r="C4" t="s">
        <v>38</v>
      </c>
      <c r="D4" s="2" t="s">
        <v>48</v>
      </c>
      <c r="E4" s="3" t="s">
        <v>61</v>
      </c>
      <c r="F4" t="s">
        <v>76</v>
      </c>
      <c r="G4" t="s">
        <v>69</v>
      </c>
      <c r="H4" s="1" t="s">
        <v>83</v>
      </c>
      <c r="I4" s="1" t="s">
        <v>85</v>
      </c>
      <c r="J4">
        <f t="shared" ref="J4:J15" si="0">((COUNTIF(C4:F4, "&lt;&gt;"&amp;"Unknown") + IF(G4="Fully covered", 1, IF(G4="Partially covered", 0.5, 0)))/ 5) * 100</f>
        <v>90</v>
      </c>
    </row>
    <row r="5" spans="1:10" ht="50" customHeight="1" x14ac:dyDescent="0.35">
      <c r="A5" t="s">
        <v>16</v>
      </c>
      <c r="B5" t="s">
        <v>17</v>
      </c>
      <c r="C5" t="s">
        <v>39</v>
      </c>
      <c r="D5" s="3" t="s">
        <v>49</v>
      </c>
      <c r="E5" s="3" t="s">
        <v>62</v>
      </c>
      <c r="F5">
        <v>8.4</v>
      </c>
      <c r="G5" t="s">
        <v>75</v>
      </c>
      <c r="I5" s="1" t="s">
        <v>85</v>
      </c>
      <c r="J5">
        <f t="shared" si="0"/>
        <v>100</v>
      </c>
    </row>
    <row r="6" spans="1:10" ht="50" customHeight="1" x14ac:dyDescent="0.35">
      <c r="A6" t="s">
        <v>18</v>
      </c>
      <c r="B6" t="s">
        <v>19</v>
      </c>
      <c r="C6" t="s">
        <v>41</v>
      </c>
      <c r="D6" s="2" t="s">
        <v>46</v>
      </c>
      <c r="E6" s="3" t="s">
        <v>63</v>
      </c>
      <c r="F6" t="s">
        <v>77</v>
      </c>
      <c r="G6" t="s">
        <v>75</v>
      </c>
      <c r="I6" s="1" t="s">
        <v>85</v>
      </c>
      <c r="J6">
        <f t="shared" si="0"/>
        <v>100</v>
      </c>
    </row>
    <row r="7" spans="1:10" ht="50" customHeight="1" x14ac:dyDescent="0.35">
      <c r="A7" t="s">
        <v>9</v>
      </c>
      <c r="B7" t="s">
        <v>20</v>
      </c>
      <c r="C7" t="s">
        <v>40</v>
      </c>
      <c r="D7" s="3" t="s">
        <v>50</v>
      </c>
      <c r="E7" s="3" t="s">
        <v>64</v>
      </c>
      <c r="F7" t="s">
        <v>78</v>
      </c>
      <c r="G7" t="s">
        <v>75</v>
      </c>
      <c r="I7" s="1" t="s">
        <v>85</v>
      </c>
      <c r="J7">
        <f t="shared" si="0"/>
        <v>100</v>
      </c>
    </row>
    <row r="8" spans="1:10" ht="50" customHeight="1" x14ac:dyDescent="0.35">
      <c r="A8" t="s">
        <v>21</v>
      </c>
      <c r="B8" t="s">
        <v>22</v>
      </c>
      <c r="C8" t="s">
        <v>42</v>
      </c>
      <c r="D8" s="2" t="s">
        <v>52</v>
      </c>
      <c r="E8" s="3" t="s">
        <v>65</v>
      </c>
      <c r="F8" t="s">
        <v>79</v>
      </c>
      <c r="G8" t="s">
        <v>75</v>
      </c>
      <c r="I8" s="1" t="s">
        <v>85</v>
      </c>
      <c r="J8">
        <f t="shared" si="0"/>
        <v>100</v>
      </c>
    </row>
    <row r="9" spans="1:10" ht="50" customHeight="1" x14ac:dyDescent="0.35">
      <c r="A9" t="s">
        <v>23</v>
      </c>
      <c r="B9" t="s">
        <v>24</v>
      </c>
      <c r="C9" t="s">
        <v>37</v>
      </c>
      <c r="D9" s="3" t="s">
        <v>53</v>
      </c>
      <c r="E9" s="3" t="s">
        <v>66</v>
      </c>
      <c r="F9">
        <v>9.3000000000000007</v>
      </c>
      <c r="G9" t="s">
        <v>75</v>
      </c>
      <c r="I9" s="1" t="s">
        <v>85</v>
      </c>
      <c r="J9">
        <f t="shared" si="0"/>
        <v>100</v>
      </c>
    </row>
    <row r="10" spans="1:10" ht="50" customHeight="1" x14ac:dyDescent="0.35">
      <c r="A10" t="s">
        <v>25</v>
      </c>
      <c r="B10" t="s">
        <v>26</v>
      </c>
      <c r="C10" t="s">
        <v>37</v>
      </c>
      <c r="D10" s="2" t="s">
        <v>57</v>
      </c>
      <c r="E10" s="3" t="s">
        <v>67</v>
      </c>
      <c r="F10">
        <v>9.3000000000000007</v>
      </c>
      <c r="G10" t="s">
        <v>75</v>
      </c>
      <c r="I10" s="1" t="s">
        <v>86</v>
      </c>
      <c r="J10">
        <f t="shared" si="0"/>
        <v>100</v>
      </c>
    </row>
    <row r="11" spans="1:10" ht="50" customHeight="1" x14ac:dyDescent="0.35">
      <c r="A11" t="s">
        <v>27</v>
      </c>
      <c r="B11" t="s">
        <v>28</v>
      </c>
      <c r="C11" t="s">
        <v>43</v>
      </c>
      <c r="D11" s="3" t="s">
        <v>51</v>
      </c>
      <c r="E11" s="3" t="s">
        <v>68</v>
      </c>
      <c r="F11" t="s">
        <v>82</v>
      </c>
      <c r="G11" t="s">
        <v>75</v>
      </c>
      <c r="I11" s="1" t="s">
        <v>87</v>
      </c>
      <c r="J11">
        <f t="shared" si="0"/>
        <v>100</v>
      </c>
    </row>
    <row r="12" spans="1:10" ht="50" customHeight="1" x14ac:dyDescent="0.35">
      <c r="A12" t="s">
        <v>29</v>
      </c>
      <c r="B12" t="s">
        <v>30</v>
      </c>
      <c r="C12" t="s">
        <v>44</v>
      </c>
      <c r="D12" t="s">
        <v>56</v>
      </c>
      <c r="E12" t="s">
        <v>56</v>
      </c>
      <c r="F12" t="s">
        <v>80</v>
      </c>
      <c r="G12" t="s">
        <v>75</v>
      </c>
      <c r="I12" s="1" t="s">
        <v>88</v>
      </c>
      <c r="J12">
        <f t="shared" si="0"/>
        <v>60</v>
      </c>
    </row>
    <row r="13" spans="1:10" ht="50" customHeight="1" x14ac:dyDescent="0.35">
      <c r="A13" t="s">
        <v>31</v>
      </c>
      <c r="B13" t="s">
        <v>32</v>
      </c>
      <c r="C13" t="s">
        <v>45</v>
      </c>
      <c r="D13" s="3" t="s">
        <v>54</v>
      </c>
      <c r="E13" s="3" t="s">
        <v>70</v>
      </c>
      <c r="F13">
        <v>12.2</v>
      </c>
      <c r="G13" t="s">
        <v>75</v>
      </c>
      <c r="I13" s="1" t="s">
        <v>89</v>
      </c>
      <c r="J13">
        <f t="shared" si="0"/>
        <v>100</v>
      </c>
    </row>
    <row r="14" spans="1:10" ht="72.5" x14ac:dyDescent="0.35">
      <c r="A14" t="s">
        <v>33</v>
      </c>
      <c r="B14" t="s">
        <v>34</v>
      </c>
      <c r="C14" t="s">
        <v>43</v>
      </c>
      <c r="D14" s="3" t="s">
        <v>54</v>
      </c>
      <c r="E14" s="3" t="s">
        <v>58</v>
      </c>
      <c r="F14">
        <v>9.3000000000000007</v>
      </c>
      <c r="G14" t="s">
        <v>75</v>
      </c>
      <c r="I14" s="1" t="s">
        <v>90</v>
      </c>
      <c r="J14">
        <f t="shared" si="0"/>
        <v>100</v>
      </c>
    </row>
    <row r="15" spans="1:10" ht="50" customHeight="1" x14ac:dyDescent="0.35">
      <c r="A15" t="s">
        <v>35</v>
      </c>
      <c r="B15" t="s">
        <v>55</v>
      </c>
      <c r="C15" t="s">
        <v>45</v>
      </c>
      <c r="D15" s="3" t="s">
        <v>54</v>
      </c>
      <c r="E15" s="3" t="s">
        <v>71</v>
      </c>
      <c r="F15" t="s">
        <v>81</v>
      </c>
      <c r="G15" t="s">
        <v>75</v>
      </c>
      <c r="I15" s="1" t="s">
        <v>74</v>
      </c>
      <c r="J15">
        <f t="shared" si="0"/>
        <v>100</v>
      </c>
    </row>
    <row r="16" spans="1:10" ht="50" customHeight="1" x14ac:dyDescent="0.35">
      <c r="A16" t="s">
        <v>91</v>
      </c>
    </row>
    <row r="17" spans="1:10" ht="50" customHeight="1" x14ac:dyDescent="0.35">
      <c r="A17" t="s">
        <v>92</v>
      </c>
      <c r="B17" t="s">
        <v>93</v>
      </c>
      <c r="C17" t="s">
        <v>38</v>
      </c>
      <c r="D17" s="4" t="s">
        <v>97</v>
      </c>
      <c r="E17" s="3" t="s">
        <v>100</v>
      </c>
      <c r="F17" t="s">
        <v>102</v>
      </c>
      <c r="G17" t="s">
        <v>105</v>
      </c>
      <c r="I17" s="1" t="s">
        <v>103</v>
      </c>
      <c r="J17">
        <f>((COUNTIF(C17:F17, "&lt;&gt;"&amp;"Unknown") + IF(G17="Fully covered", 1, IF(G17="Partially covered", 0.5, 0)))/ 5) * 100</f>
        <v>100</v>
      </c>
    </row>
    <row r="18" spans="1:10" ht="50" customHeight="1" x14ac:dyDescent="0.35">
      <c r="A18" t="s">
        <v>94</v>
      </c>
      <c r="B18" t="s">
        <v>95</v>
      </c>
      <c r="C18" t="s">
        <v>96</v>
      </c>
      <c r="D18" s="3" t="s">
        <v>98</v>
      </c>
      <c r="E18" s="3" t="s">
        <v>99</v>
      </c>
      <c r="F18" t="s">
        <v>101</v>
      </c>
      <c r="G18" t="s">
        <v>75</v>
      </c>
      <c r="I18" s="1" t="s">
        <v>104</v>
      </c>
      <c r="J18">
        <f>((COUNTIF(C18:F18, "&lt;&gt;"&amp;"Unknown") + IF(G18="Fully covered", 1, IF(G18="Partially covered", 0.5, 0)))/ 5) * 100</f>
        <v>100</v>
      </c>
    </row>
    <row r="19" spans="1:10" ht="50" customHeight="1" x14ac:dyDescent="0.35">
      <c r="A19" t="s">
        <v>106</v>
      </c>
    </row>
    <row r="20" spans="1:10" ht="50" customHeight="1" x14ac:dyDescent="0.35">
      <c r="A20" t="s">
        <v>107</v>
      </c>
      <c r="B20" t="s">
        <v>108</v>
      </c>
      <c r="C20" t="s">
        <v>111</v>
      </c>
      <c r="D20" s="3" t="s">
        <v>112</v>
      </c>
      <c r="E20" t="s">
        <v>114</v>
      </c>
      <c r="G20" t="s">
        <v>75</v>
      </c>
      <c r="I20" s="1" t="s">
        <v>104</v>
      </c>
      <c r="J20">
        <f t="shared" ref="J20:J21" si="1">((COUNTIF(C20:F20, "&lt;&gt;"&amp;"Unknown") + IF(G20="Fully covered", 1, IF(G20="Partially covered", 0.5, 0)))/ 5) * 100</f>
        <v>100</v>
      </c>
    </row>
    <row r="21" spans="1:10" ht="50" customHeight="1" x14ac:dyDescent="0.35">
      <c r="A21" t="s">
        <v>109</v>
      </c>
      <c r="B21" t="s">
        <v>110</v>
      </c>
      <c r="C21" t="s">
        <v>96</v>
      </c>
      <c r="D21" s="3" t="s">
        <v>113</v>
      </c>
      <c r="E21" t="s">
        <v>99</v>
      </c>
      <c r="F21" t="s">
        <v>101</v>
      </c>
      <c r="G21" t="s">
        <v>75</v>
      </c>
      <c r="I21" s="1" t="s">
        <v>104</v>
      </c>
      <c r="J21">
        <f t="shared" si="1"/>
        <v>100</v>
      </c>
    </row>
  </sheetData>
  <phoneticPr fontId="2" type="noConversion"/>
  <hyperlinks>
    <hyperlink ref="D6" r:id="rId1" display="https://www.isms.online/iso-27001/annex-a-2022/5-3-segregation-of-duties-2022/" xr:uid="{ABC1C2E5-D65E-444F-9A57-202D5C22EDE5}"/>
    <hyperlink ref="D2" r:id="rId2" display="https://www.isms.online/iso-27001/annex-a/8-8-management-of-technical-vulnerabilities-2022/" xr:uid="{7A146CF9-4633-43A9-A12C-A34A600A0846}"/>
    <hyperlink ref="D3" r:id="rId3" display="https://www.isms.online/iso-27001/annex-a/8-8-management-of-technical-vulnerabilities-2022/" xr:uid="{06295B12-6F32-4D14-B81A-BCC9D9C345EF}"/>
    <hyperlink ref="D4" r:id="rId4" display="https://www.isms.online/iso-27001/annex-a/8-13-information-backup-2022/" xr:uid="{52A03698-0D8F-48A9-BD29-E1CB6D137913}"/>
    <hyperlink ref="D5" r:id="rId5" xr:uid="{60911AE0-355A-430E-9058-66A24DF69DF4}"/>
    <hyperlink ref="D7" r:id="rId6" xr:uid="{37876F1D-4CFB-42F3-838F-28198C1A1509}"/>
    <hyperlink ref="D11" r:id="rId7" display="https://www.isms.online/iso-27001/annex-a-2022/5-5-contact-with-government-authorities-2022/" xr:uid="{9877A030-5B9D-4409-BAA9-1F74A8D35181}"/>
    <hyperlink ref="D8" r:id="rId8" display="https://www.isms.online/iso-27001/annex-a/8-16-monitoring-activities-2022/" xr:uid="{B5342831-B2AB-4351-885A-57B54FFCBD14}"/>
    <hyperlink ref="D9" r:id="rId9" xr:uid="{D4B02062-D0D0-4827-8B24-AC0643E27328}"/>
    <hyperlink ref="D15" r:id="rId10" display="https://www.isms.online/iso-27001/annex-a/6-3-information-security-awareness-education-training-2022/" xr:uid="{72D604FC-2985-488F-9E9B-50FB74F8A345}"/>
    <hyperlink ref="D13" r:id="rId11" xr:uid="{BF43773A-2981-40F8-8258-7ED92FFA733D}"/>
    <hyperlink ref="D14" r:id="rId12" xr:uid="{0EB7EF0A-E595-4856-AF99-685436A82BA1}"/>
    <hyperlink ref="D10" r:id="rId13" display="https://www.isms.online/iso-27001/annex-a/7-2-physical-entry-2022/" xr:uid="{3B6DE728-3D0C-467F-BB97-F8EA40BFD86A}"/>
    <hyperlink ref="E2" r:id="rId14" xr:uid="{DFB88E0E-7E3A-4D4C-AD36-C5690B58B28D}"/>
    <hyperlink ref="E3" r:id="rId15" xr:uid="{B98D7C46-4596-442A-9F25-579D08BB41BF}"/>
    <hyperlink ref="E4" r:id="rId16" xr:uid="{3B89C878-2C18-4DD5-9289-EE863E3166BF}"/>
    <hyperlink ref="E5" r:id="rId17" xr:uid="{C66392FD-988C-4003-A714-7B99489C01DE}"/>
    <hyperlink ref="E14" r:id="rId18" xr:uid="{C9E3F4A0-A0E0-4CF3-8024-728E719EBC94}"/>
    <hyperlink ref="E6" r:id="rId19" display="164.308 (1) (ii)(a)" xr:uid="{4ADEC821-8C76-4080-9E79-CA754917CCED}"/>
    <hyperlink ref="E7" r:id="rId20" display="164.312(e)(2)(iv)" xr:uid="{1384B5B4-EA29-4D56-92A7-703BE640D4A4}"/>
    <hyperlink ref="E8" r:id="rId21" xr:uid="{A05FFDE0-4C43-4672-AE76-D6A18AA32E12}"/>
    <hyperlink ref="E9" r:id="rId22" xr:uid="{5156A4EE-93D0-4610-9C20-114D0D83DD89}"/>
    <hyperlink ref="E10" r:id="rId23" xr:uid="{958D8CFF-D8FC-4C5A-A8D7-34CB67A445B5}"/>
    <hyperlink ref="E11" r:id="rId24" xr:uid="{CC90E20A-B7A9-468F-80F3-75BB14921C48}"/>
    <hyperlink ref="E13" r:id="rId25" xr:uid="{AC02C3FE-6BF6-420F-8D5B-41295C5FDDC7}"/>
    <hyperlink ref="E15" r:id="rId26" xr:uid="{2A02CC45-BA74-4C9F-852E-4B93C8EE5C43}"/>
    <hyperlink ref="D17" r:id="rId27" xr:uid="{1016D436-474F-49D2-99F3-4EA99D4278C8}"/>
    <hyperlink ref="D18" r:id="rId28" xr:uid="{C2B72C82-018E-404F-B710-5D035FAD0E44}"/>
    <hyperlink ref="E18" r:id="rId29" xr:uid="{72E9DAB6-EC66-4490-BA8B-46B0AB62CC57}"/>
    <hyperlink ref="E17" r:id="rId30" xr:uid="{B82C801A-DC3A-453E-87BF-F868D137D05D}"/>
    <hyperlink ref="D20" r:id="rId31" xr:uid="{4FB63F1B-2DE9-4653-BFA8-CEC3DFE01832}"/>
    <hyperlink ref="D21" r:id="rId32" xr:uid="{A2F67897-1933-4119-ABF3-991879B657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Robert Denney</dc:creator>
  <cp:lastModifiedBy>Christian Robert Denney</cp:lastModifiedBy>
  <dcterms:created xsi:type="dcterms:W3CDTF">2025-12-03T21:23:16Z</dcterms:created>
  <dcterms:modified xsi:type="dcterms:W3CDTF">2025-12-08T17:09:41Z</dcterms:modified>
</cp:coreProperties>
</file>